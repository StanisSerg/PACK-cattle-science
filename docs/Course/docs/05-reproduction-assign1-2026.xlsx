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Жандос\Desktop\B\My learning since September 2025 at MSU\take lessons\Joes\D2L\February 9\"/>
    </mc:Choice>
  </mc:AlternateContent>
  <bookViews>
    <workbookView xWindow="0" yWindow="0" windowWidth="19200" windowHeight="6930"/>
  </bookViews>
  <sheets>
    <sheet name="Fixed Calving Interval" sheetId="1" r:id="rId1"/>
    <sheet name="Input EDR and CR" sheetId="2" r:id="rId2"/>
  </sheets>
  <definedNames>
    <definedName name="_xlnm.Print_Area" localSheetId="0">'Fixed Calving Interval'!$A$1:$E$66</definedName>
  </definedNames>
  <calcPr calcId="162913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44" i="2" l="1"/>
  <c r="E72" i="2"/>
  <c r="D44" i="2"/>
  <c r="D48" i="2"/>
  <c r="D66" i="2"/>
  <c r="D68" i="2"/>
  <c r="C44" i="2"/>
  <c r="C48" i="2"/>
  <c r="C66" i="2"/>
  <c r="C68" i="2"/>
  <c r="D72" i="2"/>
  <c r="C37" i="1"/>
  <c r="C38" i="1"/>
  <c r="C42" i="1"/>
  <c r="C46" i="1"/>
  <c r="C51" i="1"/>
  <c r="C62" i="1"/>
  <c r="C64" i="1"/>
  <c r="C66" i="1"/>
  <c r="C69" i="1"/>
  <c r="D37" i="1"/>
  <c r="D38" i="1"/>
  <c r="D42" i="1"/>
  <c r="D46" i="1"/>
  <c r="D51" i="1"/>
  <c r="D62" i="1"/>
  <c r="D64" i="1"/>
  <c r="D66" i="1"/>
  <c r="G69" i="1"/>
  <c r="D69" i="1"/>
  <c r="E69" i="1"/>
  <c r="D30" i="1"/>
  <c r="D31" i="1"/>
  <c r="C30" i="1"/>
  <c r="C31" i="1"/>
  <c r="D32" i="1"/>
  <c r="D33" i="1"/>
  <c r="D36" i="1"/>
  <c r="C32" i="1"/>
  <c r="C33" i="1"/>
  <c r="D53" i="1"/>
  <c r="E53" i="1"/>
  <c r="E60" i="1"/>
  <c r="D34" i="1"/>
  <c r="E30" i="1"/>
  <c r="E32" i="1"/>
  <c r="D35" i="1"/>
  <c r="D43" i="1"/>
  <c r="D52" i="1"/>
  <c r="D54" i="1"/>
  <c r="E54" i="1"/>
  <c r="D59" i="1"/>
  <c r="D32" i="2"/>
  <c r="D33" i="2"/>
  <c r="D39" i="2"/>
  <c r="C32" i="2"/>
  <c r="C33" i="2"/>
  <c r="C39" i="2"/>
  <c r="C40" i="2"/>
  <c r="D34" i="2"/>
  <c r="D35" i="2"/>
  <c r="D36" i="2"/>
  <c r="C34" i="2"/>
  <c r="C35" i="2"/>
  <c r="C36" i="2"/>
  <c r="D60" i="2"/>
  <c r="E60" i="2"/>
  <c r="D59" i="2"/>
  <c r="E59" i="2"/>
  <c r="D58" i="2"/>
  <c r="E58" i="2"/>
  <c r="D57" i="2"/>
  <c r="E57" i="2"/>
  <c r="D56" i="2"/>
  <c r="E56" i="2"/>
  <c r="D55" i="2"/>
  <c r="E55" i="2"/>
  <c r="D38" i="2"/>
  <c r="D46" i="2"/>
  <c r="C38" i="2"/>
  <c r="C46" i="2"/>
  <c r="E46" i="2"/>
  <c r="D52" i="2"/>
  <c r="D40" i="2"/>
  <c r="D53" i="2"/>
  <c r="D54" i="2"/>
  <c r="D61" i="2"/>
  <c r="D62" i="2"/>
  <c r="D64" i="2"/>
  <c r="E38" i="2"/>
  <c r="E34" i="2"/>
  <c r="E32" i="2"/>
  <c r="C31" i="2"/>
  <c r="D31" i="2"/>
  <c r="E31" i="2"/>
  <c r="E31" i="1"/>
  <c r="E39" i="2"/>
  <c r="D44" i="1"/>
  <c r="D50" i="1"/>
  <c r="C37" i="2"/>
  <c r="C45" i="2"/>
  <c r="C61" i="2"/>
  <c r="D37" i="2"/>
  <c r="E62" i="2"/>
  <c r="E61" i="2"/>
  <c r="E36" i="2"/>
  <c r="C53" i="2"/>
  <c r="C52" i="1"/>
  <c r="E52" i="1"/>
  <c r="C36" i="1"/>
  <c r="E33" i="1"/>
  <c r="E33" i="2"/>
  <c r="E35" i="2"/>
  <c r="C54" i="2"/>
  <c r="E54" i="2"/>
  <c r="C52" i="2"/>
  <c r="C34" i="1"/>
  <c r="D55" i="1"/>
  <c r="E55" i="1"/>
  <c r="D56" i="1"/>
  <c r="E56" i="1"/>
  <c r="D57" i="1"/>
  <c r="E57" i="1"/>
  <c r="D58" i="1"/>
  <c r="E58" i="1"/>
  <c r="C35" i="1"/>
  <c r="C59" i="1"/>
  <c r="E59" i="1"/>
  <c r="E34" i="1"/>
  <c r="C44" i="1"/>
  <c r="C50" i="1"/>
  <c r="C64" i="2"/>
  <c r="E52" i="2"/>
  <c r="E53" i="2"/>
  <c r="E64" i="2"/>
  <c r="E50" i="1"/>
  <c r="E51" i="1"/>
  <c r="E62" i="1"/>
  <c r="E36" i="1"/>
  <c r="E37" i="2"/>
  <c r="D45" i="2"/>
  <c r="E45" i="2"/>
  <c r="E40" i="2"/>
  <c r="E37" i="1"/>
  <c r="E44" i="1"/>
  <c r="E44" i="2"/>
  <c r="E48" i="2"/>
  <c r="E66" i="2"/>
  <c r="E68" i="2"/>
  <c r="C43" i="1"/>
  <c r="E35" i="1"/>
  <c r="E38" i="1"/>
  <c r="E43" i="1"/>
  <c r="E42" i="1"/>
  <c r="E46" i="1"/>
  <c r="E64" i="1"/>
  <c r="E66" i="1"/>
</calcChain>
</file>

<file path=xl/sharedStrings.xml><?xml version="1.0" encoding="utf-8"?>
<sst xmlns="http://schemas.openxmlformats.org/spreadsheetml/2006/main" count="130" uniqueCount="68">
  <si>
    <t>REPRODUCTIVE SUCCESS PARTIAL BUDGET</t>
  </si>
  <si>
    <t>ASSUMPTIONS:</t>
  </si>
  <si>
    <t>Voluntary Waiting Period (Days)</t>
  </si>
  <si>
    <t>Calf Death Losses (%)</t>
  </si>
  <si>
    <t>Dry Cow Feed Cost / Day ($)</t>
  </si>
  <si>
    <t>Replacement Cost ($/Cow)</t>
  </si>
  <si>
    <t>Cull Cow Value ($/Cow)</t>
  </si>
  <si>
    <t>Price of Calves ($/Calf)</t>
  </si>
  <si>
    <t>Price of Milk ($/CWT)</t>
  </si>
  <si>
    <t>Interest Rate (%)</t>
  </si>
  <si>
    <t>Extra Labor per Lac. Cow for New Situation (Hr)</t>
  </si>
  <si>
    <t>Labor Required per Dry Cow (Hr)</t>
  </si>
  <si>
    <t>Cost per Hour for Labor ($)</t>
  </si>
  <si>
    <t>Annual Vet &amp; Med Cost Per Cow ($)</t>
  </si>
  <si>
    <t>Annual Supplies Cost Per Cow ($)</t>
  </si>
  <si>
    <t>Annual Facilities Cost Per Dry Cow ($)</t>
  </si>
  <si>
    <t>Average AI Cost Per Cow ($)</t>
  </si>
  <si>
    <t>HERD INFORMATION:</t>
  </si>
  <si>
    <t>CURRENT</t>
  </si>
  <si>
    <t>NEW</t>
  </si>
  <si>
    <t>DIFFERENCE</t>
  </si>
  <si>
    <t>Calving Interval</t>
  </si>
  <si>
    <t>Days Open</t>
  </si>
  <si>
    <t>Number Lactating Cows</t>
  </si>
  <si>
    <t>Number of Dry Cows</t>
  </si>
  <si>
    <t>Calves Born</t>
  </si>
  <si>
    <t>Calves Sold</t>
  </si>
  <si>
    <t>Cows Culled</t>
  </si>
  <si>
    <t>Milk per Cow (Pounds / Year)</t>
  </si>
  <si>
    <t>REVENUES (Per Lactating Cow per Year):</t>
  </si>
  <si>
    <t>Milk Income</t>
  </si>
  <si>
    <t>Calf Income</t>
  </si>
  <si>
    <t>Cull Cow Income</t>
  </si>
  <si>
    <t>------------------</t>
  </si>
  <si>
    <t xml:space="preserve">      Sub-Total</t>
  </si>
  <si>
    <t>EXPENSES (Per Lactating Cow per Year):</t>
  </si>
  <si>
    <t>Replacement Cost</t>
  </si>
  <si>
    <t>Feed for Lactating Cows</t>
  </si>
  <si>
    <t>Feed for Dry Cows</t>
  </si>
  <si>
    <t>Extra Cows Investment Cost (New Situation)</t>
  </si>
  <si>
    <t>Extra Labor for Lactating Cows (New Situation)</t>
  </si>
  <si>
    <t>Extra Labor for Dry Cows (New Situation)</t>
  </si>
  <si>
    <t>Extra Facilities for Dry Cows (New Situation)</t>
  </si>
  <si>
    <t>Extra Medical Cost (New Situation)</t>
  </si>
  <si>
    <t>Extra Supplies Cost (New Situation)</t>
  </si>
  <si>
    <t>AI Cost</t>
  </si>
  <si>
    <t>NET RESULT FOR HERD</t>
  </si>
  <si>
    <t>NET RESULT PER LACTATING COW</t>
  </si>
  <si>
    <t>Length of Current Calving Interval (Days)</t>
  </si>
  <si>
    <t>Length of New Calving Interval (Days)</t>
  </si>
  <si>
    <t>Milking Herd Size (lactating cows only)</t>
  </si>
  <si>
    <t>Current Culling Rate (%)</t>
  </si>
  <si>
    <t>New Culling Rate (%)</t>
  </si>
  <si>
    <t>Other</t>
  </si>
  <si>
    <t>Daily Milk per cow</t>
  </si>
  <si>
    <t>Estrus Detection Rate for Current Situation(%)</t>
  </si>
  <si>
    <t>Estrus Detection Rate for New Situation(%)</t>
  </si>
  <si>
    <t>Conception Rate (%)</t>
  </si>
  <si>
    <t>Pregnancy Rate (%)</t>
  </si>
  <si>
    <t>Daily Milk per Cow (kg/day)</t>
  </si>
  <si>
    <t>Annual Milk per Cow (kg/year)</t>
  </si>
  <si>
    <t>Rolling Herd Average (#/year)</t>
  </si>
  <si>
    <t>Rolling Herd Average (pounds/cow/year)</t>
  </si>
  <si>
    <t>Other added cost for Repro Change (if needed)</t>
  </si>
  <si>
    <t>Other costs (if needed)</t>
  </si>
  <si>
    <t>Other Costs</t>
  </si>
  <si>
    <t>Feed Cost per cwt of milk production ($)</t>
  </si>
  <si>
    <t>Price of Milk ($/cwt)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</si>
</sst>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\(&quot;$&quot;#,##0\)"/>
    <numFmt numFmtId="165" formatCode="&quot;$&quot;#,##0.00_);\(&quot;$&quot;#,##0.00\)"/>
  </numFmts>
  <fonts count="8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indexed="8"/>
      </top>
      <bottom/>
      <diagonal/>
    </border>
  </borders>
  <cellStyleXfs count="9">
    <xf numFmtId="0" fontId="0" fillId="0" borderId="0">
      <alignment vertical="top"/>
    </xf>
    <xf numFmtId="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1" applyNumberFormat="0" applyFont="0" applyFill="0" applyAlignment="0" applyProtection="0"/>
  </cellStyleXfs>
  <cellXfs count="21">
    <xf numFmtId="0" fontId="0" fillId="0" borderId="0" xfId="0" applyAlignment="1"/>
    <xf numFmtId="165" fontId="0" fillId="0" borderId="0" xfId="2" applyFont="1"/>
    <xf numFmtId="0" fontId="3" fillId="0" borderId="0" xfId="0" applyFont="1" applyAlignment="1"/>
    <xf numFmtId="0" fontId="1" fillId="0" borderId="0" xfId="0" applyFont="1" applyAlignme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2" applyFont="1" applyAlignment="1">
      <alignment horizontal="center"/>
    </xf>
    <xf numFmtId="0" fontId="4" fillId="0" borderId="0" xfId="0" applyFont="1" applyAlignment="1">
      <alignment horizontal="center"/>
    </xf>
    <xf numFmtId="164" fontId="5" fillId="0" borderId="0" xfId="3" applyFont="1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>
      <alignment vertical="top"/>
    </xf>
    <xf numFmtId="0" fontId="0" fillId="0" borderId="0" xfId="0">
      <alignment vertical="top"/>
    </xf>
    <xf numFmtId="0" fontId="3" fillId="0" borderId="0" xfId="0" applyFont="1">
      <alignment vertical="top"/>
    </xf>
    <xf numFmtId="0" fontId="6" fillId="0" borderId="0" xfId="0" applyFont="1" applyAlignment="1">
      <alignment horizontal="center"/>
    </xf>
    <xf numFmtId="164" fontId="3" fillId="0" borderId="0" xfId="3" applyFont="1" applyAlignment="1">
      <alignment horizontal="center"/>
    </xf>
    <xf numFmtId="3" fontId="0" fillId="0" borderId="0" xfId="0" applyNumberFormat="1" applyAlignment="1"/>
    <xf numFmtId="164" fontId="0" fillId="0" borderId="0" xfId="0" applyNumberFormat="1" applyAlignment="1"/>
    <xf numFmtId="165" fontId="0" fillId="2" borderId="0" xfId="0" applyNumberFormat="1" applyFill="1" applyAlignment="1">
      <alignment horizontal="center"/>
    </xf>
    <xf numFmtId="4" fontId="0" fillId="0" borderId="0" xfId="0" applyNumberFormat="1" applyAlignment="1"/>
    <xf numFmtId="165" fontId="0" fillId="3" borderId="0" xfId="2" applyFont="1" applyFill="1" applyAlignment="1">
      <alignment horizontal="center"/>
    </xf>
    <xf numFmtId="165" fontId="0" fillId="4" borderId="0" xfId="2" applyFont="1" applyFill="1" applyAlignment="1">
      <alignment horizontal="center"/>
    </xf>
  </cellXfs>
  <cellStyles count="9">
    <cellStyle name="Comma0" xfId="1"/>
    <cellStyle name="Currency0" xfId="3"/>
    <cellStyle name="Date" xfId="4"/>
    <cellStyle name="Fixed" xfId="5"/>
    <cellStyle name="Денежный" xfId="2" builtinId="4"/>
    <cellStyle name="Заголовок 1" xfId="6" builtinId="16" customBuiltin="1"/>
    <cellStyle name="Заголовок 2" xfId="7" builtinId="17" customBuiltin="1"/>
    <cellStyle name="Итог" xfId="8" builtinId="25" customBuiltin="1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9"/>
  <sheetViews>
    <sheetView tabSelected="1" topLeftCell="A55" workbookViewId="0">
      <selection activeCell="C64" sqref="C64"/>
    </sheetView>
  </sheetViews>
  <sheetFormatPr defaultColWidth="9.6328125" defaultRowHeight="12.5" x14ac:dyDescent="0.25"/>
  <cols>
    <col min="1" max="1" width="2.81640625" customWidth="1"/>
    <col min="2" max="2" width="46.81640625" customWidth="1"/>
    <col min="3" max="3" width="13.453125" customWidth="1"/>
    <col min="4" max="4" width="15.453125" customWidth="1"/>
    <col min="5" max="5" width="13.81640625" customWidth="1"/>
  </cols>
  <sheetData>
    <row r="1" spans="1:3" ht="23" x14ac:dyDescent="0.5">
      <c r="A1" s="3" t="s">
        <v>0</v>
      </c>
    </row>
    <row r="3" spans="1:3" ht="13" x14ac:dyDescent="0.3">
      <c r="A3" s="2" t="s">
        <v>1</v>
      </c>
    </row>
    <row r="4" spans="1:3" x14ac:dyDescent="0.25">
      <c r="B4" t="s">
        <v>50</v>
      </c>
      <c r="C4">
        <v>500</v>
      </c>
    </row>
    <row r="5" spans="1:3" x14ac:dyDescent="0.25">
      <c r="B5" t="s">
        <v>48</v>
      </c>
      <c r="C5">
        <v>554</v>
      </c>
    </row>
    <row r="6" spans="1:3" x14ac:dyDescent="0.25">
      <c r="B6" t="s">
        <v>49</v>
      </c>
      <c r="C6">
        <v>408</v>
      </c>
    </row>
    <row r="7" spans="1:3" x14ac:dyDescent="0.25">
      <c r="B7" t="s">
        <v>62</v>
      </c>
      <c r="C7" s="15">
        <v>32000</v>
      </c>
    </row>
    <row r="8" spans="1:3" x14ac:dyDescent="0.25">
      <c r="B8" t="s">
        <v>2</v>
      </c>
      <c r="C8">
        <v>50</v>
      </c>
    </row>
    <row r="9" spans="1:3" x14ac:dyDescent="0.25">
      <c r="B9" t="s">
        <v>3</v>
      </c>
      <c r="C9">
        <v>7</v>
      </c>
    </row>
    <row r="10" spans="1:3" x14ac:dyDescent="0.25">
      <c r="B10" s="11" t="s">
        <v>66</v>
      </c>
      <c r="C10" s="1">
        <v>9</v>
      </c>
    </row>
    <row r="11" spans="1:3" x14ac:dyDescent="0.25">
      <c r="B11" t="s">
        <v>4</v>
      </c>
      <c r="C11" s="1">
        <v>6</v>
      </c>
    </row>
    <row r="12" spans="1:3" x14ac:dyDescent="0.25">
      <c r="B12" t="s">
        <v>5</v>
      </c>
      <c r="C12" s="1">
        <v>2000</v>
      </c>
    </row>
    <row r="13" spans="1:3" x14ac:dyDescent="0.25">
      <c r="B13" t="s">
        <v>51</v>
      </c>
      <c r="C13">
        <v>34</v>
      </c>
    </row>
    <row r="14" spans="1:3" x14ac:dyDescent="0.25">
      <c r="B14" t="s">
        <v>52</v>
      </c>
      <c r="C14">
        <v>19</v>
      </c>
    </row>
    <row r="15" spans="1:3" x14ac:dyDescent="0.25">
      <c r="B15" t="s">
        <v>6</v>
      </c>
      <c r="C15" s="1">
        <v>900</v>
      </c>
    </row>
    <row r="16" spans="1:3" x14ac:dyDescent="0.25">
      <c r="B16" t="s">
        <v>7</v>
      </c>
      <c r="C16" s="1">
        <v>200</v>
      </c>
    </row>
    <row r="17" spans="1:5" x14ac:dyDescent="0.25">
      <c r="B17" t="s">
        <v>8</v>
      </c>
      <c r="C17" s="1">
        <v>22</v>
      </c>
    </row>
    <row r="18" spans="1:5" x14ac:dyDescent="0.25">
      <c r="B18" t="s">
        <v>9</v>
      </c>
      <c r="C18">
        <v>7</v>
      </c>
    </row>
    <row r="19" spans="1:5" x14ac:dyDescent="0.25">
      <c r="B19" t="s">
        <v>10</v>
      </c>
      <c r="C19">
        <v>30</v>
      </c>
    </row>
    <row r="20" spans="1:5" x14ac:dyDescent="0.25">
      <c r="B20" t="s">
        <v>11</v>
      </c>
      <c r="C20">
        <v>30</v>
      </c>
    </row>
    <row r="21" spans="1:5" x14ac:dyDescent="0.25">
      <c r="B21" t="s">
        <v>12</v>
      </c>
      <c r="C21" s="1">
        <v>18</v>
      </c>
    </row>
    <row r="22" spans="1:5" x14ac:dyDescent="0.25">
      <c r="B22" t="s">
        <v>13</v>
      </c>
      <c r="C22" s="1">
        <v>130</v>
      </c>
    </row>
    <row r="23" spans="1:5" x14ac:dyDescent="0.25">
      <c r="B23" t="s">
        <v>14</v>
      </c>
      <c r="C23" s="1">
        <v>110</v>
      </c>
    </row>
    <row r="24" spans="1:5" x14ac:dyDescent="0.25">
      <c r="B24" t="s">
        <v>15</v>
      </c>
      <c r="C24" s="1">
        <v>120</v>
      </c>
    </row>
    <row r="25" spans="1:5" x14ac:dyDescent="0.25">
      <c r="B25" t="s">
        <v>16</v>
      </c>
      <c r="C25" s="1">
        <v>80</v>
      </c>
    </row>
    <row r="26" spans="1:5" x14ac:dyDescent="0.25">
      <c r="B26" t="s">
        <v>63</v>
      </c>
      <c r="C26" s="1">
        <v>20</v>
      </c>
    </row>
    <row r="29" spans="1:5" ht="13" x14ac:dyDescent="0.3">
      <c r="A29" s="2" t="s">
        <v>17</v>
      </c>
      <c r="C29" s="7" t="s">
        <v>18</v>
      </c>
      <c r="D29" s="7" t="s">
        <v>19</v>
      </c>
      <c r="E29" s="7" t="s">
        <v>20</v>
      </c>
    </row>
    <row r="30" spans="1:5" x14ac:dyDescent="0.25">
      <c r="B30" t="s">
        <v>21</v>
      </c>
      <c r="C30" s="4">
        <f>C5</f>
        <v>554</v>
      </c>
      <c r="D30" s="4">
        <f>C6</f>
        <v>408</v>
      </c>
      <c r="E30" s="4">
        <f t="shared" ref="E30:E36" si="0">D30-C30</f>
        <v>-146</v>
      </c>
    </row>
    <row r="31" spans="1:5" x14ac:dyDescent="0.25">
      <c r="B31" t="s">
        <v>22</v>
      </c>
      <c r="C31" s="4">
        <f>C30-270</f>
        <v>284</v>
      </c>
      <c r="D31" s="4">
        <f>D30-270</f>
        <v>138</v>
      </c>
      <c r="E31" s="4">
        <f t="shared" si="0"/>
        <v>-146</v>
      </c>
    </row>
    <row r="32" spans="1:5" x14ac:dyDescent="0.25">
      <c r="B32" t="s">
        <v>23</v>
      </c>
      <c r="C32" s="4">
        <f>C4</f>
        <v>500</v>
      </c>
      <c r="D32" s="4">
        <f>C4</f>
        <v>500</v>
      </c>
      <c r="E32" s="4">
        <f t="shared" si="0"/>
        <v>0</v>
      </c>
    </row>
    <row r="33" spans="1:5" x14ac:dyDescent="0.25">
      <c r="B33" t="s">
        <v>24</v>
      </c>
      <c r="C33" s="4">
        <f>ROUND(((C5*C4)/(C5-C8))-C4,0)</f>
        <v>50</v>
      </c>
      <c r="D33" s="4">
        <f>ROUND(((C6*C4)/(C6-C8))-C4,0)</f>
        <v>70</v>
      </c>
      <c r="E33" s="4">
        <f t="shared" si="0"/>
        <v>20</v>
      </c>
    </row>
    <row r="34" spans="1:5" x14ac:dyDescent="0.25">
      <c r="B34" t="s">
        <v>25</v>
      </c>
      <c r="C34" s="4">
        <f>ROUND((C32+C33)*(365/C5),0)</f>
        <v>362</v>
      </c>
      <c r="D34" s="4">
        <f>ROUND((D32+D33)*(365/C6),0)</f>
        <v>510</v>
      </c>
      <c r="E34" s="4">
        <f t="shared" si="0"/>
        <v>148</v>
      </c>
    </row>
    <row r="35" spans="1:5" x14ac:dyDescent="0.25">
      <c r="B35" t="s">
        <v>26</v>
      </c>
      <c r="C35" s="4">
        <f>ROUND(C34*(1-(C9/100)),0)</f>
        <v>337</v>
      </c>
      <c r="D35" s="4">
        <f>ROUND(D34*(1-(C9/100)),0)</f>
        <v>474</v>
      </c>
      <c r="E35" s="4">
        <f t="shared" si="0"/>
        <v>137</v>
      </c>
    </row>
    <row r="36" spans="1:5" x14ac:dyDescent="0.25">
      <c r="B36" t="s">
        <v>27</v>
      </c>
      <c r="C36" s="4">
        <f>ROUND((C32+C33)*($C13/100),0)</f>
        <v>187</v>
      </c>
      <c r="D36" s="4">
        <f>ROUND((D32+D33)*($C14/100),0)</f>
        <v>108</v>
      </c>
      <c r="E36" s="4">
        <f t="shared" si="0"/>
        <v>-79</v>
      </c>
    </row>
    <row r="37" spans="1:5" x14ac:dyDescent="0.25">
      <c r="B37" t="s">
        <v>54</v>
      </c>
      <c r="C37" s="4">
        <f>ROUND((((C7*0.01)/2.96)*(C30-C8)^0.11*(2.718281828)^(-0.00325*(C30-C8)*(2.718281828)^((C30-(C31-C8))*-0.0012))),0)</f>
        <v>70</v>
      </c>
      <c r="D37" s="4">
        <f>ROUND((((C7*0.01)/2.96)*(D30-C8)^0.11*(2.718281828)^(-0.00325*(D30-C8)*(2.718281828)^((D30-(D31-C8))*-0.0012))),0)</f>
        <v>93</v>
      </c>
      <c r="E37" s="4">
        <f>+D37-C37</f>
        <v>23</v>
      </c>
    </row>
    <row r="38" spans="1:5" x14ac:dyDescent="0.25">
      <c r="B38" t="s">
        <v>28</v>
      </c>
      <c r="C38" s="9">
        <f>+C37*365</f>
        <v>25550</v>
      </c>
      <c r="D38" s="9">
        <f>+D37*365</f>
        <v>33945</v>
      </c>
      <c r="E38" s="9">
        <f>+D38-C38</f>
        <v>8395</v>
      </c>
    </row>
    <row r="39" spans="1:5" x14ac:dyDescent="0.25">
      <c r="C39" s="4"/>
      <c r="D39" s="4"/>
      <c r="E39" s="4"/>
    </row>
    <row r="40" spans="1:5" x14ac:dyDescent="0.25">
      <c r="C40" s="4"/>
      <c r="D40" s="4"/>
      <c r="E40" s="4"/>
    </row>
    <row r="41" spans="1:5" ht="13" x14ac:dyDescent="0.3">
      <c r="A41" s="2" t="s">
        <v>29</v>
      </c>
      <c r="C41" s="4"/>
      <c r="D41" s="4"/>
      <c r="E41" s="4"/>
    </row>
    <row r="42" spans="1:5" x14ac:dyDescent="0.25">
      <c r="B42" t="s">
        <v>30</v>
      </c>
      <c r="C42" s="5">
        <f>(C38/100)*C17</f>
        <v>5621</v>
      </c>
      <c r="D42" s="5">
        <f>(D38/100)*C17</f>
        <v>7467.9</v>
      </c>
      <c r="E42" s="5">
        <f>D42-C42</f>
        <v>1846.8999999999996</v>
      </c>
    </row>
    <row r="43" spans="1:5" x14ac:dyDescent="0.25">
      <c r="B43" t="s">
        <v>31</v>
      </c>
      <c r="C43" s="5">
        <f>C35*$C16/$C4</f>
        <v>134.80000000000001</v>
      </c>
      <c r="D43" s="5">
        <f>D35*$C16/$C4</f>
        <v>189.6</v>
      </c>
      <c r="E43" s="5">
        <f>D43-C43</f>
        <v>54.799999999999983</v>
      </c>
    </row>
    <row r="44" spans="1:5" x14ac:dyDescent="0.25">
      <c r="B44" t="s">
        <v>32</v>
      </c>
      <c r="C44" s="5">
        <f>(C36*C15)/$C4</f>
        <v>336.6</v>
      </c>
      <c r="D44" s="5">
        <f>(D36*C15)/$C4</f>
        <v>194.4</v>
      </c>
      <c r="E44" s="5">
        <f>D44-C44</f>
        <v>-142.20000000000002</v>
      </c>
    </row>
    <row r="45" spans="1:5" x14ac:dyDescent="0.25">
      <c r="C45" s="5" t="s">
        <v>33</v>
      </c>
      <c r="D45" s="5" t="s">
        <v>33</v>
      </c>
      <c r="E45" s="5" t="s">
        <v>33</v>
      </c>
    </row>
    <row r="46" spans="1:5" x14ac:dyDescent="0.25">
      <c r="B46" t="s">
        <v>34</v>
      </c>
      <c r="C46" s="5">
        <f>SUM(C42:C44)</f>
        <v>6092.4000000000005</v>
      </c>
      <c r="D46" s="5">
        <f>SUM(D42:D44)</f>
        <v>7851.9</v>
      </c>
      <c r="E46" s="5">
        <f>SUM(E42:E44)</f>
        <v>1759.4999999999995</v>
      </c>
    </row>
    <row r="47" spans="1:5" x14ac:dyDescent="0.25">
      <c r="C47" s="5"/>
      <c r="D47" s="5"/>
      <c r="E47" s="5"/>
    </row>
    <row r="48" spans="1:5" x14ac:dyDescent="0.25">
      <c r="C48" s="5"/>
      <c r="D48" s="5"/>
      <c r="E48" s="5"/>
    </row>
    <row r="49" spans="1:5" ht="13" x14ac:dyDescent="0.3">
      <c r="A49" s="2" t="s">
        <v>35</v>
      </c>
      <c r="C49" s="5"/>
      <c r="D49" s="5"/>
      <c r="E49" s="5"/>
    </row>
    <row r="50" spans="1:5" x14ac:dyDescent="0.25">
      <c r="B50" t="s">
        <v>36</v>
      </c>
      <c r="C50" s="5">
        <f>(C36*$C12)/$C4</f>
        <v>748</v>
      </c>
      <c r="D50" s="5">
        <f>(D36*$C12)/$C4</f>
        <v>432</v>
      </c>
      <c r="E50" s="5">
        <f t="shared" ref="E50:E59" si="1">D50-C50</f>
        <v>-316</v>
      </c>
    </row>
    <row r="51" spans="1:5" x14ac:dyDescent="0.25">
      <c r="B51" t="s">
        <v>37</v>
      </c>
      <c r="C51" s="5">
        <f>((C38/100)*$C10)</f>
        <v>2299.5</v>
      </c>
      <c r="D51" s="5">
        <f>((D38/100)*$C10)</f>
        <v>3055.0499999999997</v>
      </c>
      <c r="E51" s="5">
        <f t="shared" si="1"/>
        <v>755.54999999999973</v>
      </c>
    </row>
    <row r="52" spans="1:5" x14ac:dyDescent="0.25">
      <c r="B52" t="s">
        <v>38</v>
      </c>
      <c r="C52" s="5">
        <f>((C33*365)*$C11)/$C4</f>
        <v>219</v>
      </c>
      <c r="D52" s="5">
        <f>((D33*365)*$C11)/$C4</f>
        <v>306.60000000000002</v>
      </c>
      <c r="E52" s="5">
        <f t="shared" si="1"/>
        <v>87.600000000000023</v>
      </c>
    </row>
    <row r="53" spans="1:5" x14ac:dyDescent="0.25">
      <c r="B53" t="s">
        <v>39</v>
      </c>
      <c r="C53" s="5">
        <v>0</v>
      </c>
      <c r="D53" s="5">
        <f>(((D32+D33)-(C32+C33))*C12*(C18/100))/$C4</f>
        <v>5.6000000000000005</v>
      </c>
      <c r="E53" s="5">
        <f>+D53-C53</f>
        <v>5.6000000000000005</v>
      </c>
    </row>
    <row r="54" spans="1:5" x14ac:dyDescent="0.25">
      <c r="B54" t="s">
        <v>40</v>
      </c>
      <c r="C54" s="5">
        <v>0</v>
      </c>
      <c r="D54" s="5">
        <f>((C19*C21))</f>
        <v>540</v>
      </c>
      <c r="E54" s="5">
        <f t="shared" si="1"/>
        <v>540</v>
      </c>
    </row>
    <row r="55" spans="1:5" x14ac:dyDescent="0.25">
      <c r="B55" t="s">
        <v>41</v>
      </c>
      <c r="C55" s="5">
        <v>0</v>
      </c>
      <c r="D55" s="5">
        <f>((D33-C33)*(C20*C21))/C4</f>
        <v>21.6</v>
      </c>
      <c r="E55" s="5">
        <f>+D55</f>
        <v>21.6</v>
      </c>
    </row>
    <row r="56" spans="1:5" x14ac:dyDescent="0.25">
      <c r="B56" t="s">
        <v>42</v>
      </c>
      <c r="C56" s="5">
        <v>0</v>
      </c>
      <c r="D56" s="5">
        <f>((D33-C33)*C24)/C4</f>
        <v>4.8</v>
      </c>
      <c r="E56" s="5">
        <f>+D56</f>
        <v>4.8</v>
      </c>
    </row>
    <row r="57" spans="1:5" x14ac:dyDescent="0.25">
      <c r="B57" t="s">
        <v>43</v>
      </c>
      <c r="C57" s="5">
        <v>0</v>
      </c>
      <c r="D57" s="5">
        <f>(((D32+D33)-(C32+C33))*C22)/C4</f>
        <v>5.2</v>
      </c>
      <c r="E57" s="5">
        <f>+D57</f>
        <v>5.2</v>
      </c>
    </row>
    <row r="58" spans="1:5" x14ac:dyDescent="0.25">
      <c r="B58" t="s">
        <v>44</v>
      </c>
      <c r="C58" s="5">
        <v>0</v>
      </c>
      <c r="D58" s="5">
        <f>(((D32+D33)-(C32+C33))*C23)/C4</f>
        <v>4.4000000000000004</v>
      </c>
      <c r="E58" s="5">
        <f>+D58</f>
        <v>4.4000000000000004</v>
      </c>
    </row>
    <row r="59" spans="1:5" x14ac:dyDescent="0.25">
      <c r="B59" t="s">
        <v>45</v>
      </c>
      <c r="C59" s="5">
        <f>(C34*C25)/C4</f>
        <v>57.92</v>
      </c>
      <c r="D59" s="5">
        <f>(D34*C25)/C4</f>
        <v>81.599999999999994</v>
      </c>
      <c r="E59" s="5">
        <f t="shared" si="1"/>
        <v>23.679999999999993</v>
      </c>
    </row>
    <row r="60" spans="1:5" x14ac:dyDescent="0.25">
      <c r="B60" t="s">
        <v>53</v>
      </c>
      <c r="C60" s="5">
        <v>0</v>
      </c>
      <c r="D60" s="5">
        <v>0</v>
      </c>
      <c r="E60" s="5">
        <f>+D60-C60</f>
        <v>0</v>
      </c>
    </row>
    <row r="61" spans="1:5" x14ac:dyDescent="0.25">
      <c r="C61" s="5" t="s">
        <v>33</v>
      </c>
      <c r="D61" s="5" t="s">
        <v>33</v>
      </c>
      <c r="E61" s="5" t="s">
        <v>33</v>
      </c>
    </row>
    <row r="62" spans="1:5" x14ac:dyDescent="0.25">
      <c r="B62" t="s">
        <v>34</v>
      </c>
      <c r="C62" s="5">
        <f>SUM(C50:C60)</f>
        <v>3324.42</v>
      </c>
      <c r="D62" s="5">
        <f>SUM(D50:D60)</f>
        <v>4456.8500000000004</v>
      </c>
      <c r="E62" s="5">
        <f>SUM(E50:E60)</f>
        <v>1132.4299999999998</v>
      </c>
    </row>
    <row r="63" spans="1:5" x14ac:dyDescent="0.25">
      <c r="C63" s="5"/>
      <c r="D63" s="5"/>
      <c r="E63" s="5"/>
    </row>
    <row r="64" spans="1:5" ht="13" x14ac:dyDescent="0.3">
      <c r="B64" s="2" t="s">
        <v>47</v>
      </c>
      <c r="C64" s="20">
        <f>C46-C62</f>
        <v>2767.9800000000005</v>
      </c>
      <c r="D64" s="20">
        <f>D46-D62</f>
        <v>3395.0499999999993</v>
      </c>
      <c r="E64" s="6">
        <f>E46-E62</f>
        <v>627.06999999999971</v>
      </c>
    </row>
    <row r="66" spans="2:7" ht="13" x14ac:dyDescent="0.3">
      <c r="B66" s="2" t="s">
        <v>46</v>
      </c>
      <c r="C66" s="8">
        <f>C64*C4</f>
        <v>1383990.0000000002</v>
      </c>
      <c r="D66" s="8">
        <f>D64*C4</f>
        <v>1697524.9999999995</v>
      </c>
      <c r="E66" s="8">
        <f>E64*C4</f>
        <v>313534.99999999988</v>
      </c>
    </row>
    <row r="69" spans="2:7" x14ac:dyDescent="0.25">
      <c r="C69">
        <f>C66/500</f>
        <v>2767.9800000000005</v>
      </c>
      <c r="D69" s="16">
        <f>D66-C66</f>
        <v>313534.9999999993</v>
      </c>
      <c r="E69">
        <f>D69/500</f>
        <v>627.06999999999857</v>
      </c>
      <c r="G69">
        <f>D66/500</f>
        <v>3395.0499999999993</v>
      </c>
    </row>
  </sheetData>
  <phoneticPr fontId="0" type="noConversion"/>
  <pageMargins left="0.7" right="0.7" top="0.75" bottom="0.75" header="0.5" footer="0.5"/>
  <pageSetup scale="73" orientation="portrait" horizontalDpi="4294967292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72"/>
  <sheetViews>
    <sheetView topLeftCell="A16" zoomScaleNormal="100" workbookViewId="0">
      <selection activeCell="C39" sqref="C39"/>
    </sheetView>
  </sheetViews>
  <sheetFormatPr defaultColWidth="8.81640625" defaultRowHeight="12.5" x14ac:dyDescent="0.25"/>
  <cols>
    <col min="1" max="1" width="3.1796875" customWidth="1"/>
    <col min="2" max="2" width="40.1796875" customWidth="1"/>
    <col min="3" max="3" width="12.6328125" customWidth="1"/>
    <col min="4" max="4" width="13.81640625" customWidth="1"/>
    <col min="5" max="5" width="12.6328125" customWidth="1"/>
  </cols>
  <sheetData>
    <row r="1" spans="1:5" ht="23" x14ac:dyDescent="0.25">
      <c r="A1" s="10" t="s">
        <v>0</v>
      </c>
      <c r="B1" s="11"/>
      <c r="C1" s="11"/>
      <c r="D1" s="11"/>
      <c r="E1" s="11"/>
    </row>
    <row r="2" spans="1:5" x14ac:dyDescent="0.25">
      <c r="A2" s="11"/>
      <c r="B2" s="11"/>
      <c r="C2" s="11"/>
      <c r="D2" s="11"/>
      <c r="E2" s="11"/>
    </row>
    <row r="3" spans="1:5" ht="13" x14ac:dyDescent="0.25">
      <c r="A3" s="12" t="s">
        <v>1</v>
      </c>
      <c r="B3" s="11"/>
      <c r="C3" s="11"/>
      <c r="D3" s="11"/>
      <c r="E3" s="11"/>
    </row>
    <row r="4" spans="1:5" x14ac:dyDescent="0.25">
      <c r="A4" s="11"/>
      <c r="B4" s="11" t="s">
        <v>50</v>
      </c>
      <c r="C4" s="11">
        <v>500</v>
      </c>
      <c r="D4" s="11"/>
      <c r="E4" s="11"/>
    </row>
    <row r="5" spans="1:5" x14ac:dyDescent="0.25">
      <c r="A5" s="11"/>
      <c r="B5" s="11" t="s">
        <v>55</v>
      </c>
      <c r="C5" s="11">
        <v>24</v>
      </c>
      <c r="D5" s="11"/>
      <c r="E5" s="11"/>
    </row>
    <row r="6" spans="1:5" x14ac:dyDescent="0.25">
      <c r="A6" s="11"/>
      <c r="B6" s="11" t="s">
        <v>56</v>
      </c>
      <c r="C6" s="11">
        <v>62</v>
      </c>
      <c r="D6" s="11"/>
      <c r="E6" s="11"/>
    </row>
    <row r="7" spans="1:5" x14ac:dyDescent="0.25">
      <c r="A7" s="11"/>
      <c r="B7" s="11" t="s">
        <v>57</v>
      </c>
      <c r="C7" s="11">
        <v>30</v>
      </c>
      <c r="D7" s="11"/>
      <c r="E7" s="11"/>
    </row>
    <row r="8" spans="1:5" x14ac:dyDescent="0.25">
      <c r="A8" s="11"/>
      <c r="B8" s="11" t="s">
        <v>61</v>
      </c>
      <c r="C8" s="11">
        <v>25000</v>
      </c>
      <c r="D8" s="11"/>
      <c r="E8" s="11"/>
    </row>
    <row r="9" spans="1:5" x14ac:dyDescent="0.25">
      <c r="A9" s="11"/>
      <c r="B9" s="11" t="s">
        <v>2</v>
      </c>
      <c r="C9" s="11">
        <v>50</v>
      </c>
      <c r="D9" s="11"/>
      <c r="E9" s="11"/>
    </row>
    <row r="10" spans="1:5" x14ac:dyDescent="0.25">
      <c r="A10" s="11"/>
      <c r="B10" s="11" t="s">
        <v>3</v>
      </c>
      <c r="C10" s="11">
        <v>7</v>
      </c>
      <c r="D10" s="11"/>
      <c r="E10" s="11"/>
    </row>
    <row r="11" spans="1:5" x14ac:dyDescent="0.25">
      <c r="A11" s="11"/>
      <c r="B11" s="11" t="s">
        <v>66</v>
      </c>
      <c r="C11" s="1">
        <v>9</v>
      </c>
      <c r="D11" s="11"/>
      <c r="E11" s="11"/>
    </row>
    <row r="12" spans="1:5" x14ac:dyDescent="0.25">
      <c r="A12" s="11"/>
      <c r="B12" s="11" t="s">
        <v>4</v>
      </c>
      <c r="C12" s="1">
        <v>6</v>
      </c>
      <c r="D12" s="11"/>
      <c r="E12" s="11"/>
    </row>
    <row r="13" spans="1:5" x14ac:dyDescent="0.25">
      <c r="A13" s="11"/>
      <c r="B13" s="11" t="s">
        <v>5</v>
      </c>
      <c r="C13" s="1">
        <v>2000</v>
      </c>
      <c r="D13" s="11"/>
      <c r="E13" s="11"/>
    </row>
    <row r="14" spans="1:5" x14ac:dyDescent="0.25">
      <c r="A14" s="11"/>
      <c r="B14" s="11" t="s">
        <v>51</v>
      </c>
      <c r="C14" s="11">
        <v>34</v>
      </c>
      <c r="D14" s="11"/>
      <c r="E14" s="11"/>
    </row>
    <row r="15" spans="1:5" x14ac:dyDescent="0.25">
      <c r="A15" s="11"/>
      <c r="B15" s="11" t="s">
        <v>52</v>
      </c>
      <c r="C15" s="11">
        <v>19</v>
      </c>
      <c r="D15" s="11"/>
      <c r="E15" s="11"/>
    </row>
    <row r="16" spans="1:5" x14ac:dyDescent="0.25">
      <c r="A16" s="11"/>
      <c r="B16" s="11" t="s">
        <v>6</v>
      </c>
      <c r="C16" s="1">
        <v>900</v>
      </c>
      <c r="D16" s="11"/>
      <c r="E16" s="11"/>
    </row>
    <row r="17" spans="1:5" x14ac:dyDescent="0.25">
      <c r="A17" s="11"/>
      <c r="B17" s="11" t="s">
        <v>7</v>
      </c>
      <c r="C17" s="1">
        <v>200</v>
      </c>
      <c r="D17" s="11"/>
      <c r="E17" s="11"/>
    </row>
    <row r="18" spans="1:5" x14ac:dyDescent="0.25">
      <c r="A18" s="11"/>
      <c r="B18" s="11" t="s">
        <v>67</v>
      </c>
      <c r="C18" s="1">
        <v>22</v>
      </c>
      <c r="D18" s="11"/>
      <c r="E18" s="11"/>
    </row>
    <row r="19" spans="1:5" x14ac:dyDescent="0.25">
      <c r="A19" s="11"/>
      <c r="B19" s="11" t="s">
        <v>9</v>
      </c>
      <c r="C19">
        <v>7</v>
      </c>
      <c r="D19" s="11"/>
      <c r="E19" s="11"/>
    </row>
    <row r="20" spans="1:5" x14ac:dyDescent="0.25">
      <c r="A20" s="11"/>
      <c r="B20" s="11" t="s">
        <v>10</v>
      </c>
      <c r="C20">
        <v>30</v>
      </c>
      <c r="D20" s="11"/>
      <c r="E20" s="11"/>
    </row>
    <row r="21" spans="1:5" x14ac:dyDescent="0.25">
      <c r="A21" s="11"/>
      <c r="B21" s="11" t="s">
        <v>11</v>
      </c>
      <c r="C21">
        <v>30</v>
      </c>
      <c r="D21" s="11"/>
      <c r="E21" s="11"/>
    </row>
    <row r="22" spans="1:5" x14ac:dyDescent="0.25">
      <c r="A22" s="11"/>
      <c r="B22" s="11" t="s">
        <v>12</v>
      </c>
      <c r="C22" s="1">
        <v>18</v>
      </c>
      <c r="D22" s="11"/>
      <c r="E22" s="11"/>
    </row>
    <row r="23" spans="1:5" x14ac:dyDescent="0.25">
      <c r="A23" s="11"/>
      <c r="B23" s="11" t="s">
        <v>13</v>
      </c>
      <c r="C23" s="1">
        <v>130</v>
      </c>
      <c r="D23" s="11"/>
      <c r="E23" s="11"/>
    </row>
    <row r="24" spans="1:5" x14ac:dyDescent="0.25">
      <c r="A24" s="11"/>
      <c r="B24" s="11" t="s">
        <v>14</v>
      </c>
      <c r="C24" s="1">
        <v>110</v>
      </c>
      <c r="D24" s="11"/>
      <c r="E24" s="11"/>
    </row>
    <row r="25" spans="1:5" x14ac:dyDescent="0.25">
      <c r="A25" s="11"/>
      <c r="B25" s="11" t="s">
        <v>15</v>
      </c>
      <c r="C25" s="1">
        <v>120</v>
      </c>
      <c r="D25" s="11"/>
      <c r="E25" s="11"/>
    </row>
    <row r="26" spans="1:5" x14ac:dyDescent="0.25">
      <c r="A26" s="11"/>
      <c r="B26" s="11" t="s">
        <v>16</v>
      </c>
      <c r="C26" s="1">
        <v>80</v>
      </c>
      <c r="D26" s="11"/>
      <c r="E26" s="11"/>
    </row>
    <row r="27" spans="1:5" x14ac:dyDescent="0.25">
      <c r="A27" s="11"/>
      <c r="B27" s="11" t="s">
        <v>64</v>
      </c>
      <c r="C27" s="1">
        <v>20</v>
      </c>
      <c r="D27" s="11"/>
      <c r="E27" s="11"/>
    </row>
    <row r="28" spans="1:5" x14ac:dyDescent="0.25">
      <c r="A28" s="11"/>
      <c r="B28" s="11"/>
      <c r="C28" s="11"/>
      <c r="D28" s="11"/>
      <c r="E28" s="11"/>
    </row>
    <row r="29" spans="1:5" x14ac:dyDescent="0.25">
      <c r="A29" s="11"/>
      <c r="B29" s="11"/>
      <c r="C29" s="11"/>
      <c r="D29" s="11"/>
      <c r="E29" s="11"/>
    </row>
    <row r="30" spans="1:5" ht="13" x14ac:dyDescent="0.25">
      <c r="A30" s="12" t="s">
        <v>17</v>
      </c>
      <c r="B30" s="11"/>
      <c r="C30" s="13" t="s">
        <v>18</v>
      </c>
      <c r="D30" s="13" t="s">
        <v>19</v>
      </c>
      <c r="E30" s="13" t="s">
        <v>20</v>
      </c>
    </row>
    <row r="31" spans="1:5" ht="13" x14ac:dyDescent="0.25">
      <c r="A31" s="12"/>
      <c r="B31" s="11" t="s">
        <v>58</v>
      </c>
      <c r="C31" s="4">
        <f>+(C5*C7)/100</f>
        <v>7.2</v>
      </c>
      <c r="D31" s="4">
        <f>+(C6*C7)/100</f>
        <v>18.600000000000001</v>
      </c>
      <c r="E31" s="4">
        <f>+C31-D31</f>
        <v>-11.400000000000002</v>
      </c>
    </row>
    <row r="32" spans="1:5" x14ac:dyDescent="0.25">
      <c r="A32" s="11"/>
      <c r="B32" s="11" t="s">
        <v>21</v>
      </c>
      <c r="C32" s="4">
        <f>+(1/((C5/100)*(C7/100)))*21+C9+280</f>
        <v>621.66666666666674</v>
      </c>
      <c r="D32" s="4">
        <f>+(1/((C6/100)*(C7/100)))*21+C9+280</f>
        <v>442.90322580645159</v>
      </c>
      <c r="E32" s="4">
        <f t="shared" ref="E32:E38" si="0">D32-C32</f>
        <v>-178.76344086021516</v>
      </c>
    </row>
    <row r="33" spans="1:7" x14ac:dyDescent="0.25">
      <c r="A33" s="11"/>
      <c r="B33" s="11" t="s">
        <v>22</v>
      </c>
      <c r="C33" s="4">
        <f>C32-280</f>
        <v>341.66666666666674</v>
      </c>
      <c r="D33" s="4">
        <f>D32-280</f>
        <v>162.90322580645159</v>
      </c>
      <c r="E33" s="4">
        <f t="shared" si="0"/>
        <v>-178.76344086021516</v>
      </c>
    </row>
    <row r="34" spans="1:7" x14ac:dyDescent="0.25">
      <c r="A34" s="11"/>
      <c r="B34" s="11" t="s">
        <v>23</v>
      </c>
      <c r="C34" s="4">
        <f>C4</f>
        <v>500</v>
      </c>
      <c r="D34" s="4">
        <f>C4</f>
        <v>500</v>
      </c>
      <c r="E34" s="4">
        <f t="shared" si="0"/>
        <v>0</v>
      </c>
    </row>
    <row r="35" spans="1:7" x14ac:dyDescent="0.25">
      <c r="A35" s="11"/>
      <c r="B35" s="11" t="s">
        <v>24</v>
      </c>
      <c r="C35" s="4">
        <f>ROUND(((C32*C4)/(C32-C9))-C4,0)</f>
        <v>44</v>
      </c>
      <c r="D35" s="4">
        <f>ROUND(((D32*C4)/(D32-C9))-C4,0)</f>
        <v>64</v>
      </c>
      <c r="E35" s="4">
        <f t="shared" si="0"/>
        <v>20</v>
      </c>
    </row>
    <row r="36" spans="1:7" x14ac:dyDescent="0.25">
      <c r="A36" s="11"/>
      <c r="B36" s="11" t="s">
        <v>25</v>
      </c>
      <c r="C36" s="4">
        <f>ROUND((C34+C35)*(365/C32),0)</f>
        <v>319</v>
      </c>
      <c r="D36" s="4">
        <f>ROUND((D34+D35)*(365/D32),0)</f>
        <v>465</v>
      </c>
      <c r="E36" s="4">
        <f t="shared" si="0"/>
        <v>146</v>
      </c>
    </row>
    <row r="37" spans="1:7" x14ac:dyDescent="0.25">
      <c r="A37" s="11"/>
      <c r="B37" s="11" t="s">
        <v>26</v>
      </c>
      <c r="C37" s="4">
        <f>ROUND(C36*(1-(C10/100)),0)</f>
        <v>297</v>
      </c>
      <c r="D37" s="4">
        <f>ROUND(D36*(1-(C10/100)),0)</f>
        <v>432</v>
      </c>
      <c r="E37" s="4">
        <f t="shared" si="0"/>
        <v>135</v>
      </c>
    </row>
    <row r="38" spans="1:7" x14ac:dyDescent="0.25">
      <c r="A38" s="11"/>
      <c r="B38" s="11" t="s">
        <v>27</v>
      </c>
      <c r="C38" s="4">
        <f>ROUND((C34+C35)*($C14/100),0)</f>
        <v>185</v>
      </c>
      <c r="D38" s="4">
        <f>ROUND((D34+D35)*($C15/100),0)</f>
        <v>107</v>
      </c>
      <c r="E38" s="4">
        <f t="shared" si="0"/>
        <v>-78</v>
      </c>
    </row>
    <row r="39" spans="1:7" x14ac:dyDescent="0.25">
      <c r="A39" s="11"/>
      <c r="B39" s="11" t="s">
        <v>59</v>
      </c>
      <c r="C39" s="4">
        <f>ROUND((((C8*0.01)/2.96)*(C32-C9)^0.11*(2.718281828)^(-0.00325*(C32-C9)*(2.718281828)^((C32-(C33-C9))*-0.0012))),0)</f>
        <v>49</v>
      </c>
      <c r="D39" s="4">
        <f>ROUND((((C8*0.01)/2.96)*(D32-C9)^0.11*(2.718281828)^(-0.00325*(D32-C9)*(2.718281828)^((D32-(D33-C9))*-0.0012))),0)</f>
        <v>69</v>
      </c>
      <c r="E39" s="4">
        <f>+D39-C39</f>
        <v>20</v>
      </c>
    </row>
    <row r="40" spans="1:7" x14ac:dyDescent="0.25">
      <c r="A40" s="11"/>
      <c r="B40" s="11" t="s">
        <v>60</v>
      </c>
      <c r="C40" s="9">
        <f>+C39*365</f>
        <v>17885</v>
      </c>
      <c r="D40" s="9">
        <f>+D39*365</f>
        <v>25185</v>
      </c>
      <c r="E40" s="9">
        <f>D40-C40</f>
        <v>7300</v>
      </c>
    </row>
    <row r="41" spans="1:7" x14ac:dyDescent="0.25">
      <c r="A41" s="11"/>
      <c r="B41" s="11"/>
      <c r="C41" s="4"/>
      <c r="D41" s="4"/>
      <c r="E41" s="4"/>
    </row>
    <row r="42" spans="1:7" x14ac:dyDescent="0.25">
      <c r="A42" s="11"/>
      <c r="B42" s="11"/>
      <c r="C42" s="4"/>
      <c r="D42" s="4"/>
      <c r="E42" s="4"/>
    </row>
    <row r="43" spans="1:7" ht="13" x14ac:dyDescent="0.25">
      <c r="A43" s="12" t="s">
        <v>29</v>
      </c>
      <c r="B43" s="11"/>
      <c r="C43" s="4"/>
      <c r="D43" s="4"/>
      <c r="E43" s="4"/>
    </row>
    <row r="44" spans="1:7" x14ac:dyDescent="0.25">
      <c r="A44" s="11"/>
      <c r="B44" s="11" t="s">
        <v>30</v>
      </c>
      <c r="C44" s="17">
        <f>(C40/100)*C18</f>
        <v>3934.7</v>
      </c>
      <c r="D44" s="17">
        <f>(D40/100)*C18</f>
        <v>5540.7</v>
      </c>
      <c r="E44" s="5">
        <f>D44-C44</f>
        <v>1606</v>
      </c>
      <c r="G44" s="18">
        <f>D44-C44</f>
        <v>1606</v>
      </c>
    </row>
    <row r="45" spans="1:7" x14ac:dyDescent="0.25">
      <c r="A45" s="11"/>
      <c r="B45" s="11" t="s">
        <v>31</v>
      </c>
      <c r="C45" s="5">
        <f>C37*$C17/$C4</f>
        <v>118.8</v>
      </c>
      <c r="D45" s="5">
        <f>D37*$C17/$C4</f>
        <v>172.8</v>
      </c>
      <c r="E45" s="5">
        <f>D45-C45</f>
        <v>54.000000000000014</v>
      </c>
    </row>
    <row r="46" spans="1:7" x14ac:dyDescent="0.25">
      <c r="A46" s="11"/>
      <c r="B46" s="11" t="s">
        <v>32</v>
      </c>
      <c r="C46" s="5">
        <f>(C38*C16)/$C4</f>
        <v>333</v>
      </c>
      <c r="D46" s="5">
        <f>(D38*C16)/$C4</f>
        <v>192.6</v>
      </c>
      <c r="E46" s="5">
        <f>D46-C46</f>
        <v>-140.4</v>
      </c>
    </row>
    <row r="47" spans="1:7" x14ac:dyDescent="0.25">
      <c r="A47" s="11"/>
      <c r="B47" s="11"/>
      <c r="C47" s="5" t="s">
        <v>33</v>
      </c>
      <c r="D47" s="5" t="s">
        <v>33</v>
      </c>
      <c r="E47" s="5" t="s">
        <v>33</v>
      </c>
    </row>
    <row r="48" spans="1:7" x14ac:dyDescent="0.25">
      <c r="A48" s="11"/>
      <c r="B48" s="11" t="s">
        <v>34</v>
      </c>
      <c r="C48" s="5">
        <f>SUM(C44:C46)</f>
        <v>4386.5</v>
      </c>
      <c r="D48" s="5">
        <f>SUM(D44:D46)</f>
        <v>5906.1</v>
      </c>
      <c r="E48" s="5">
        <f>SUM(E44:E46)</f>
        <v>1519.6</v>
      </c>
    </row>
    <row r="49" spans="1:5" x14ac:dyDescent="0.25">
      <c r="A49" s="11"/>
      <c r="B49" s="11"/>
      <c r="C49" s="5"/>
      <c r="D49" s="5"/>
      <c r="E49" s="5"/>
    </row>
    <row r="50" spans="1:5" x14ac:dyDescent="0.25">
      <c r="A50" s="11"/>
      <c r="B50" s="11"/>
      <c r="C50" s="5"/>
      <c r="D50" s="5"/>
      <c r="E50" s="5"/>
    </row>
    <row r="51" spans="1:5" ht="13" x14ac:dyDescent="0.25">
      <c r="A51" s="12" t="s">
        <v>35</v>
      </c>
      <c r="B51" s="11"/>
      <c r="C51" s="5"/>
      <c r="D51" s="5"/>
      <c r="E51" s="5"/>
    </row>
    <row r="52" spans="1:5" x14ac:dyDescent="0.25">
      <c r="A52" s="11"/>
      <c r="B52" s="11" t="s">
        <v>36</v>
      </c>
      <c r="C52" s="5">
        <f>(C38*$C13)/$C4</f>
        <v>740</v>
      </c>
      <c r="D52" s="5">
        <f>(D38*$C13)/$C4</f>
        <v>428</v>
      </c>
      <c r="E52" s="5">
        <f>D52-C52</f>
        <v>-312</v>
      </c>
    </row>
    <row r="53" spans="1:5" x14ac:dyDescent="0.25">
      <c r="A53" s="11"/>
      <c r="B53" s="11" t="s">
        <v>37</v>
      </c>
      <c r="C53" s="5">
        <f>((C40/100)*$C11)</f>
        <v>1609.6499999999999</v>
      </c>
      <c r="D53" s="5">
        <f>((D40/100)*$C11)</f>
        <v>2266.65</v>
      </c>
      <c r="E53" s="5">
        <f>D53-C53</f>
        <v>657.00000000000023</v>
      </c>
    </row>
    <row r="54" spans="1:5" x14ac:dyDescent="0.25">
      <c r="A54" s="11"/>
      <c r="B54" s="11" t="s">
        <v>38</v>
      </c>
      <c r="C54" s="5">
        <f>((C35*365)*$C12)/$C4</f>
        <v>192.72</v>
      </c>
      <c r="D54" s="5">
        <f>((D35*365)*$C12)/$C4</f>
        <v>280.32</v>
      </c>
      <c r="E54" s="5">
        <f>D54-C54</f>
        <v>87.6</v>
      </c>
    </row>
    <row r="55" spans="1:5" x14ac:dyDescent="0.25">
      <c r="A55" s="11"/>
      <c r="B55" s="11" t="s">
        <v>39</v>
      </c>
      <c r="C55" s="5">
        <v>0</v>
      </c>
      <c r="D55" s="5">
        <f>(((D34+D35)-(C34+C35))*C13*(C19/100))/$C4</f>
        <v>5.6000000000000005</v>
      </c>
      <c r="E55" s="5">
        <f t="shared" ref="E55:E62" si="1">D55-C55</f>
        <v>5.6000000000000005</v>
      </c>
    </row>
    <row r="56" spans="1:5" x14ac:dyDescent="0.25">
      <c r="A56" s="11"/>
      <c r="B56" s="11" t="s">
        <v>40</v>
      </c>
      <c r="C56" s="5">
        <v>0</v>
      </c>
      <c r="D56" s="5">
        <f>((C20*C22))</f>
        <v>540</v>
      </c>
      <c r="E56" s="5">
        <f t="shared" si="1"/>
        <v>540</v>
      </c>
    </row>
    <row r="57" spans="1:5" x14ac:dyDescent="0.25">
      <c r="A57" s="11"/>
      <c r="B57" s="11" t="s">
        <v>41</v>
      </c>
      <c r="C57" s="5">
        <v>0</v>
      </c>
      <c r="D57" s="5">
        <f>((D35-C35)*(C21*C22))/C4</f>
        <v>21.6</v>
      </c>
      <c r="E57" s="5">
        <f t="shared" si="1"/>
        <v>21.6</v>
      </c>
    </row>
    <row r="58" spans="1:5" x14ac:dyDescent="0.25">
      <c r="A58" s="11"/>
      <c r="B58" s="11" t="s">
        <v>42</v>
      </c>
      <c r="C58" s="5">
        <v>0</v>
      </c>
      <c r="D58" s="5">
        <f>((D35-C35)*C25)/C4</f>
        <v>4.8</v>
      </c>
      <c r="E58" s="5">
        <f t="shared" si="1"/>
        <v>4.8</v>
      </c>
    </row>
    <row r="59" spans="1:5" x14ac:dyDescent="0.25">
      <c r="A59" s="11"/>
      <c r="B59" s="11" t="s">
        <v>43</v>
      </c>
      <c r="C59" s="5">
        <v>0</v>
      </c>
      <c r="D59" s="5">
        <f>(((D34+D35)-(C34+C35))*C23)/C4</f>
        <v>5.2</v>
      </c>
      <c r="E59" s="5">
        <f t="shared" si="1"/>
        <v>5.2</v>
      </c>
    </row>
    <row r="60" spans="1:5" x14ac:dyDescent="0.25">
      <c r="A60" s="11"/>
      <c r="B60" s="11" t="s">
        <v>44</v>
      </c>
      <c r="C60" s="5">
        <v>0</v>
      </c>
      <c r="D60" s="5">
        <f>(((D34+D35)-(C34+C35))*C24)/C4</f>
        <v>4.4000000000000004</v>
      </c>
      <c r="E60" s="5">
        <f t="shared" si="1"/>
        <v>4.4000000000000004</v>
      </c>
    </row>
    <row r="61" spans="1:5" x14ac:dyDescent="0.25">
      <c r="A61" s="11"/>
      <c r="B61" s="11" t="s">
        <v>45</v>
      </c>
      <c r="C61" s="5">
        <f>(C36*C26)/C4</f>
        <v>51.04</v>
      </c>
      <c r="D61" s="5">
        <f>(D36*C26)/C4</f>
        <v>74.400000000000006</v>
      </c>
      <c r="E61" s="5">
        <f t="shared" si="1"/>
        <v>23.360000000000007</v>
      </c>
    </row>
    <row r="62" spans="1:5" x14ac:dyDescent="0.25">
      <c r="A62" s="11"/>
      <c r="B62" s="11" t="s">
        <v>65</v>
      </c>
      <c r="C62" s="5">
        <v>0</v>
      </c>
      <c r="D62" s="5">
        <f>(C27*D36)/C4</f>
        <v>18.600000000000001</v>
      </c>
      <c r="E62" s="5">
        <f t="shared" si="1"/>
        <v>18.600000000000001</v>
      </c>
    </row>
    <row r="63" spans="1:5" x14ac:dyDescent="0.25">
      <c r="A63" s="11"/>
      <c r="B63" s="11"/>
      <c r="C63" s="5" t="s">
        <v>33</v>
      </c>
      <c r="D63" s="5" t="s">
        <v>33</v>
      </c>
      <c r="E63" s="5" t="s">
        <v>33</v>
      </c>
    </row>
    <row r="64" spans="1:5" x14ac:dyDescent="0.25">
      <c r="A64" s="11"/>
      <c r="B64" s="11" t="s">
        <v>34</v>
      </c>
      <c r="C64" s="5">
        <f>SUM(C52:C62)</f>
        <v>2593.4099999999994</v>
      </c>
      <c r="D64" s="5">
        <f>SUM(D52:D62)</f>
        <v>3649.57</v>
      </c>
      <c r="E64" s="5">
        <f>SUM(E52:E62)</f>
        <v>1056.1600000000001</v>
      </c>
    </row>
    <row r="65" spans="1:5" x14ac:dyDescent="0.25">
      <c r="A65" s="11"/>
      <c r="B65" s="11"/>
      <c r="C65" s="5"/>
      <c r="D65" s="5"/>
      <c r="E65" s="5"/>
    </row>
    <row r="66" spans="1:5" ht="13" x14ac:dyDescent="0.25">
      <c r="A66" s="11"/>
      <c r="B66" s="12" t="s">
        <v>47</v>
      </c>
      <c r="C66" s="6">
        <f>C48-C64</f>
        <v>1793.0900000000006</v>
      </c>
      <c r="D66" s="19">
        <f>D48-D64</f>
        <v>2256.5300000000002</v>
      </c>
      <c r="E66" s="6">
        <f>E48-E64</f>
        <v>463.43999999999983</v>
      </c>
    </row>
    <row r="67" spans="1:5" x14ac:dyDescent="0.25">
      <c r="A67" s="11"/>
      <c r="B67" s="11"/>
      <c r="C67" s="11"/>
      <c r="D67" s="11"/>
      <c r="E67" s="11"/>
    </row>
    <row r="68" spans="1:5" ht="13" x14ac:dyDescent="0.3">
      <c r="A68" s="11"/>
      <c r="B68" s="12" t="s">
        <v>46</v>
      </c>
      <c r="C68" s="14">
        <f>C66*C4</f>
        <v>896545.00000000035</v>
      </c>
      <c r="D68" s="14">
        <f>D66*C4</f>
        <v>1128265</v>
      </c>
      <c r="E68" s="14">
        <f>E66*C4</f>
        <v>231719.99999999991</v>
      </c>
    </row>
    <row r="72" spans="1:5" x14ac:dyDescent="0.25">
      <c r="D72" s="16">
        <f>D68-C68</f>
        <v>231719.99999999965</v>
      </c>
      <c r="E72">
        <f>D72/500</f>
        <v>463.43999999999932</v>
      </c>
    </row>
  </sheetData>
  <phoneticPr fontId="0" type="noConversion"/>
  <pageMargins left="0.7" right="0.7" top="0.75" bottom="0.75" header="0.5" footer="0.5"/>
  <pageSetup orientation="portrait" horizontalDpi="4294967292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Fixed Calving Interval</vt:lpstr>
      <vt:lpstr>Input EDR and CR</vt:lpstr>
      <vt:lpstr>'Fixed Calving Interval'!Область_печати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</dc:creator>
  <cp:lastModifiedBy>Жандос</cp:lastModifiedBy>
  <cp:lastPrinted>1999-03-02T18:31:52Z</cp:lastPrinted>
  <dcterms:created xsi:type="dcterms:W3CDTF">1999-01-14T00:56:40Z</dcterms:created>
  <dcterms:modified xsi:type="dcterms:W3CDTF">2026-04-09T01:18:12Z</dcterms:modified>
</cp:coreProperties>
</file>